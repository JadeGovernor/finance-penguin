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076c4b9c0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① 计价与单次成本" sheetId="1" r:id="Rbd195348733f4be0"/>
    <x:sheet xmlns:r="http://schemas.openxmlformats.org/officeDocument/2006/relationships" name="② 免费版" sheetId="2" r:id="R8077039a6e8e4d7f"/>
    <x:sheet xmlns:r="http://schemas.openxmlformats.org/officeDocument/2006/relationships" name="③ 进阶版" sheetId="3" r:id="R831bacedef8a40b9"/>
    <x:sheet xmlns:r="http://schemas.openxmlformats.org/officeDocument/2006/relationships" name="④ 专业版" sheetId="4" r:id="R4bbd01f980474397"/>
    <x:sheet xmlns:r="http://schemas.openxmlformats.org/officeDocument/2006/relationships" name="⑤ 结论" sheetId="5" r:id="R340fc18b75954b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0.0"/>
    <x:numFmt numFmtId="202" formatCode="@"/>
    <x:numFmt numFmtId="203" formatCode="#,##0"/>
    <x:numFmt numFmtId="204" formatCode="¥0.000"/>
    <x:numFmt numFmtId="205" formatCode="¥0.0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3B2E"/>
      <x:name val="Carlito"/>
    </x:font>
    <x:font>
      <x:b/>
      <x:sz val="10"/>
      <x:color rgb="FFFFFFFF"/>
      <x:name val="Carlito"/>
    </x:font>
    <x:font>
      <x:b/>
      <x:sz val="10"/>
      <x:name val="Carlito"/>
    </x:font>
    <x:font>
      <x:sz val="9"/>
      <x:color rgb="FF6B7280"/>
      <x:name val="Carlito"/>
    </x:font>
    <x:font>
      <x:sz val="10"/>
      <x:name val="Carlito"/>
    </x:font>
    <x:font>
      <x:i/>
      <x:sz val="9"/>
      <x:color rgb="FF6B7280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201" fontId="0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202" fontId="0" borderId="1" xfId="0" applyNumberFormat="1" applyFont="1" applyFill="0" applyBorder="1"/>
    <x:xf numFmtId="203" fontId="0" borderId="1" xfId="0" applyNumberFormat="1" applyFont="1" applyFill="0" applyBorder="1"/>
    <x:xf numFmtId="204" fontId="0" borderId="1" xfId="0" applyNumberFormat="1" applyFont="1" applyFill="0" applyBorder="1"/>
    <x:xf numFmtId="202" fontId="6" fillId="0" borderId="1" xfId="0" applyNumberFormat="1" applyFont="1" applyFill="1" applyBorder="1"/>
    <x:xf numFmtId="203" fontId="6" fillId="0" borderId="1" xfId="0" applyNumberFormat="1" applyFont="1" applyFill="1" applyBorder="1"/>
    <x:xf numFmtId="204" fontId="6" fillId="0" borderId="1" xfId="0" applyNumberFormat="1" applyFont="1" applyFill="1" applyBorder="1"/>
    <x:xf numFmtId="202" fontId="6" borderId="1" xfId="0" applyNumberFormat="1" applyFont="1" applyFill="0" applyBorder="1"/>
    <x:xf numFmtId="203" fontId="6" borderId="1" xfId="0" applyNumberFormat="1" applyFont="1" applyFill="0" applyBorder="1"/>
    <x:xf numFmtId="204" fontId="6" borderId="1" xfId="0" applyNumberFormat="1" applyFont="1" applyFill="0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/>
    <x:xf numFmtId="205" fontId="0" borderId="1" xfId="0" applyNumberFormat="1" applyFont="1" applyFill="0" applyBorder="1"/>
    <x:xf numFmtId="205" fontId="6" fillId="0" borderId="1" xfId="0" applyNumberFormat="1" applyFont="1" applyFill="1" applyBorder="1"/>
    <x:xf numFmtId="205" fontId="6" borderId="1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d3cb60460429a" /><Relationship Type="http://schemas.openxmlformats.org/officeDocument/2006/relationships/theme" Target="/xl/theme/theme1.xml" Id="Ra250796ed12a4e3f" /><Relationship Type="http://schemas.openxmlformats.org/officeDocument/2006/relationships/sharedStrings" Target="/xl/sharedStrings.xml" Id="R2e30fd67498d4e26" /><Relationship Type="http://schemas.openxmlformats.org/officeDocument/2006/relationships/worksheet" Target="/xl/worksheets/sheet1.xml" Id="Rbd195348733f4be0" /><Relationship Type="http://schemas.openxmlformats.org/officeDocument/2006/relationships/worksheet" Target="/xl/worksheets/sheet2.xml" Id="R8077039a6e8e4d7f" /><Relationship Type="http://schemas.openxmlformats.org/officeDocument/2006/relationships/worksheet" Target="/xl/worksheets/sheet3.xml" Id="R831bacedef8a40b9" /><Relationship Type="http://schemas.openxmlformats.org/officeDocument/2006/relationships/worksheet" Target="/xl/worksheets/sheet4.xml" Id="R4bbd01f980474397" /><Relationship Type="http://schemas.openxmlformats.org/officeDocument/2006/relationships/worksheet" Target="/xl/worksheets/sheet5.xml" Id="R340fc18b75954b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20" hidden="0" customWidth="1"/>
    <x:col min="7" max="7" width="18" hidden="0" customWidth="1"/>
  </x:cols>
  <x:sheetData>
    <x:row r="1" ht="30" customHeight="1">
      <x:c r="A1" s="2" t="str">
        <x:v>Finance Penguin · AI Token 成本测算（DeepSeek v4-flash，2026-08-31）</x:v>
      </x:c>
      <x:c r="B1" s="2" t="str">
        <x:v>Finance Penguin · AI Token 成本测算（DeepSeek v4-flash，2026-08-31）</x:v>
      </x:c>
      <x:c r="C1" s="2" t="str">
        <x:v>Finance Penguin · AI Token 成本测算（DeepSeek v4-flash，2026-08-31）</x:v>
      </x:c>
      <x:c r="D1" s="2" t="str">
        <x:v>Finance Penguin · AI Token 成本测算（DeepSeek v4-flash，2026-08-31）</x:v>
      </x:c>
      <x:c r="E1" s="2" t="str">
        <x:v>Finance Penguin · AI Token 成本测算（DeepSeek v4-flash，2026-08-31）</x:v>
      </x:c>
      <x:c r="F1" s="2" t="str">
        <x:v>Finance Penguin · AI Token 成本测算（DeepSeek v4-flash，2026-08-31）</x:v>
      </x:c>
      <x:c r="G1" s="2" t="str">
        <x:v>Finance Penguin · AI Token 成本测算（DeepSeek v4-flash，2026-08-31）</x:v>
      </x:c>
    </x:row>
    <x:row r="3" ht="22" customHeight="1">
      <x:c r="A3" s="3" t="str">
        <x:v>一、DeepSeek v4-flash 官方计价（每 1M tokens，USD）</x:v>
      </x:c>
      <x:c r="B3" s="3" t="str">
        <x:v>一、DeepSeek v4-flash 官方计价（每 1M tokens，USD）</x:v>
      </x:c>
      <x:c r="C3" s="3" t="str">
        <x:v>一、DeepSeek v4-flash 官方计价（每 1M tokens，USD）</x:v>
      </x:c>
    </x:row>
    <x:row r="4" ht="22" customHeight="1">
      <x:c r="A4" s="5" t="str">
        <x:v>计费项</x:v>
      </x:c>
      <x:c r="B4" s="5" t="str">
        <x:v>Off-peak（非高峰）</x:v>
      </x:c>
      <x:c r="C4" s="5" t="str">
        <x:v>Peak（高峰）</x:v>
      </x:c>
    </x:row>
    <x:row r="5">
      <x:c r="A5" s="6" t="str">
        <x:v>输入 tokens · 缓存命中</x:v>
      </x:c>
      <x:c r="B5" s="7" t="n">
        <x:v>0.007</x:v>
      </x:c>
      <x:c r="C5" s="7" t="n">
        <x:v>0.014</x:v>
      </x:c>
    </x:row>
    <x:row r="6">
      <x:c r="A6" s="6" t="str">
        <x:v>输入 tokens · 缓存未命中</x:v>
      </x:c>
      <x:c r="B6" s="7" t="n">
        <x:v>0.22</x:v>
      </x:c>
      <x:c r="C6" s="7" t="n">
        <x:v>0.44</x:v>
      </x:c>
    </x:row>
    <x:row r="7">
      <x:c r="A7" s="6" t="str">
        <x:v>输出 tokens</x:v>
      </x:c>
      <x:c r="B7" s="7" t="n">
        <x:v>0.66</x:v>
      </x:c>
      <x:c r="C7" s="7" t="n">
        <x:v>1.32</x:v>
      </x:c>
    </x:row>
    <x:row r="9">
      <x:c r="A9" s="8" t="str">
        <x:v>汇率（1 USD = ? CNY）</x:v>
      </x:c>
      <x:c r="B9" s="10" t="n">
        <x:v>7.2</x:v>
      </x:c>
      <x:c r="C9" s="11" t="str">
        <x:v>× 换算为人民币成本</x:v>
      </x:c>
    </x:row>
    <x:row r="10">
      <x:c r="A10" s="11" t="str">
        <x:v>Peak 时段：北京时间工作日 09:00–12:00、14:00–18:00；其余时间 off-peak（半价）</x:v>
      </x:c>
    </x:row>
    <x:row r="12" ht="22" customHeight="1">
      <x:c r="A12" s="3" t="str">
        <x:v>二、单次调用消耗与成本（实测典型值）</x:v>
      </x:c>
      <x:c r="B12" s="3" t="str">
        <x:v>二、单次调用消耗与成本（实测典型值）</x:v>
      </x:c>
      <x:c r="C12" s="3" t="str">
        <x:v>二、单次调用消耗与成本（实测典型值）</x:v>
      </x:c>
      <x:c r="D12" s="3" t="str">
        <x:v>二、单次调用消耗与成本（实测典型值）</x:v>
      </x:c>
      <x:c r="E12" s="3" t="str">
        <x:v>二、单次调用消耗与成本（实测典型值）</x:v>
      </x:c>
      <x:c r="F12" s="3" t="str">
        <x:v>二、单次调用消耗与成本（实测典型值）</x:v>
      </x:c>
      <x:c r="G12" s="3" t="str">
        <x:v>二、单次调用消耗与成本（实测典型值）</x:v>
      </x:c>
    </x:row>
    <x:row r="13" ht="22" customHeight="1">
      <x:c r="A13" s="5" t="str">
        <x:v>调用类型</x:v>
      </x:c>
      <x:c r="B13" s="5" t="str">
        <x:v>输入·缓存命中</x:v>
      </x:c>
      <x:c r="C13" s="5" t="str">
        <x:v>输入·未命中</x:v>
      </x:c>
      <x:c r="D13" s="5" t="str">
        <x:v>输出</x:v>
      </x:c>
      <x:c r="E13" s="5" t="str">
        <x:v>合计 tokens</x:v>
      </x:c>
      <x:c r="F13" s="5" t="str">
        <x:v>单次成本 off-peak（CNY）</x:v>
      </x:c>
      <x:c r="G13" s="5" t="str">
        <x:v>单次成本 peak（CNY）</x:v>
      </x:c>
    </x:row>
    <x:row r="14">
      <x:c r="A14" s="18" t="str">
        <x:v>完整分析（市场观点 / 个股）</x:v>
      </x:c>
      <x:c r="B14" s="19" t="n">
        <x:v>1800</x:v>
      </x:c>
      <x:c r="C14" s="19" t="n">
        <x:v>1700</x:v>
      </x:c>
      <x:c r="D14" s="19" t="n">
        <x:v>4500</x:v>
      </x:c>
      <x:c r="E14" s="19" t="n">
        <x:f>SUM(B14:D14)</x:f>
        <x:v>8000</x:v>
      </x:c>
      <x:c r="F14" s="20" t="n">
        <x:f>(B14*$B$5+C14*$B$6+D14*$B$7)/1000000*$B$9</x:f>
        <x:v>0.02416752</x:v>
      </x:c>
      <x:c r="G14" s="20" t="n">
        <x:f>(B14*$C$5+C14*$C$6+D14*$C$7)/1000000*$B$9</x:f>
        <x:v>0.04833504</x:v>
      </x:c>
    </x:row>
    <x:row r="15">
      <x:c r="A15" s="21" t="str">
        <x:v>降智分析（免费版单日超 100 次）</x:v>
      </x:c>
      <x:c r="B15" s="22" t="n">
        <x:v>1800</x:v>
      </x:c>
      <x:c r="C15" s="22" t="n">
        <x:v>1700</x:v>
      </x:c>
      <x:c r="D15" s="22" t="n">
        <x:v>2500</x:v>
      </x:c>
      <x:c r="E15" s="22" t="n">
        <x:f>SUM(B15:D15)</x:f>
        <x:v>6000</x:v>
      </x:c>
      <x:c r="F15" s="23" t="n">
        <x:f>(B15*$B$5+C15*$B$6+D15*$B$7)/1000000*$B$9</x:f>
        <x:v>0.01466352</x:v>
      </x:c>
      <x:c r="G15" s="23" t="n">
        <x:f>(B15*$C$5+C15*$C$6+D15*$C$7)/1000000*$B$9</x:f>
        <x:v>0.02932704</x:v>
      </x:c>
    </x:row>
    <x:row r="16">
      <x:c r="A16" s="18" t="str">
        <x:v>股票识别 resolve</x:v>
      </x:c>
      <x:c r="B16" s="19" t="n">
        <x:v>0</x:v>
      </x:c>
      <x:c r="C16" s="19" t="n">
        <x:v>300</x:v>
      </x:c>
      <x:c r="D16" s="19" t="n">
        <x:v>120</x:v>
      </x:c>
      <x:c r="E16" s="19" t="n">
        <x:f>SUM(B16:D16)</x:f>
        <x:v>420</x:v>
      </x:c>
      <x:c r="F16" s="20" t="n">
        <x:f>(B16*$B$5+C16*$B$6+D16*$B$7)/1000000*$B$9</x:f>
        <x:v>0.00104544</x:v>
      </x:c>
      <x:c r="G16" s="20" t="n">
        <x:f>(B16*$C$5+C16*$C$6+D16*$C$7)/1000000*$B$9</x:f>
        <x:v>0.00209088</x:v>
      </x:c>
    </x:row>
    <x:row r="18" ht="26" customHeight="1">
      <x:c r="A18" s="25" t="str">
        <x:v>数据来源：DeepSeek 官方定价页（2026-08-31 抓取）。单次 token 为本地实测均值：完整分析 5,600–9,800，取典型 8,000；输入含系统提示 1,800（自动命中缓存）+ 用户输入/行情快照 1,700。</x:v>
      </x:c>
      <x:c r="B18" s="25" t="str">
        <x:v>数据来源：DeepSeek 官方定价页（2026-08-31 抓取）。单次 token 为本地实测均值：完整分析 5,600–9,800，取典型 8,000；输入含系统提示 1,800（自动命中缓存）+ 用户输入/行情快照 1,700。</x:v>
      </x:c>
      <x:c r="C18" s="25" t="str">
        <x:v>数据来源：DeepSeek 官方定价页（2026-08-31 抓取）。单次 token 为本地实测均值：完整分析 5,600–9,800，取典型 8,000；输入含系统提示 1,800（自动命中缓存）+ 用户输入/行情快照 1,700。</x:v>
      </x:c>
      <x:c r="D18" s="25" t="str">
        <x:v>数据来源：DeepSeek 官方定价页（2026-08-31 抓取）。单次 token 为本地实测均值：完整分析 5,600–9,800，取典型 8,000；输入含系统提示 1,800（自动命中缓存）+ 用户输入/行情快照 1,700。</x:v>
      </x:c>
      <x:c r="E18" s="25" t="str">
        <x:v>数据来源：DeepSeek 官方定价页（2026-08-31 抓取）。单次 token 为本地实测均值：完整分析 5,600–9,800，取典型 8,000；输入含系统提示 1,800（自动命中缓存）+ 用户输入/行情快照 1,700。</x:v>
      </x:c>
      <x:c r="F18" s="25" t="str">
        <x:v>数据来源：DeepSeek 官方定价页（2026-08-31 抓取）。单次 token 为本地实测均值：完整分析 5,600–9,800，取典型 8,000；输入含系统提示 1,800（自动命中缓存）+ 用户输入/行情快照 1,700。</x:v>
      </x:c>
      <x:c r="G18" s="25" t="str">
        <x:v>数据来源：DeepSeek 官方定价页（2026-08-31 抓取）。单次 token 为本地实测均值：完整分析 5,600–9,800，取典型 8,000；输入含系统提示 1,800（自动命中缓存）+ 用户输入/行情快照 1,700。</x:v>
      </x:c>
    </x:row>
  </x:sheetData>
  <x:mergeCells>
    <x:mergeCell ref="A1:G1"/>
    <x:mergeCell ref="A3:C3"/>
    <x:mergeCell ref="A10:C10"/>
    <x:mergeCell ref="A12:G12"/>
    <x:mergeCell ref="A18:G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20" hidden="0" customWidth="1"/>
    <x:col min="7" max="7" width="18" hidden="0" customWidth="1"/>
  </x:cols>
  <x:sheetData>
    <x:row r="1" ht="30" customHeight="1">
      <x:c r="A1" s="2" t="str">
        <x:v>免费版 · 单月 Token 消耗量与成本</x:v>
      </x:c>
      <x:c r="B1" s="2" t="str">
        <x:v>免费版 · 单月 Token 消耗量与成本</x:v>
      </x:c>
      <x:c r="C1" s="2" t="str">
        <x:v>免费版 · 单月 Token 消耗量与成本</x:v>
      </x:c>
      <x:c r="D1" s="2" t="str">
        <x:v>免费版 · 单月 Token 消耗量与成本</x:v>
      </x:c>
      <x:c r="E1" s="2" t="str">
        <x:v>免费版 · 单月 Token 消耗量与成本</x:v>
      </x:c>
      <x:c r="F1" s="2" t="str">
        <x:v>免费版 · 单月 Token 消耗量与成本</x:v>
      </x:c>
      <x:c r="G1" s="2" t="str">
        <x:v>免费版 · 单月 Token 消耗量与成本</x:v>
      </x:c>
    </x:row>
    <x:row r="2">
      <x:c r="A2" s="11" t="str">
        <x:v>配额：基础分析不限次数；组合体检+复盘合计 10 次/注册；单日请求 &gt;100 次自动降智</x:v>
      </x:c>
    </x:row>
    <x:row r="4" ht="22" customHeight="1">
      <x:c r="A4" s="5" t="str">
        <x:v>使用强度</x:v>
      </x:c>
      <x:c r="B4" s="5" t="str">
        <x:v>月分析次数</x:v>
      </x:c>
      <x:c r="C4" s="5" t="str">
        <x:v>其中·完整分析</x:v>
      </x:c>
      <x:c r="D4" s="5" t="str">
        <x:v>其中·降智</x:v>
      </x:c>
      <x:c r="E4" s="5" t="str">
        <x:v>月 token 消耗量</x:v>
      </x:c>
      <x:c r="F4" s="5" t="str">
        <x:v>月成本 off-peak（CNY）</x:v>
      </x:c>
      <x:c r="G4" s="5" t="str">
        <x:v>月成本 peak（CNY）</x:v>
      </x:c>
    </x:row>
    <x:row r="5">
      <x:c r="A5" s="18" t="str">
        <x:v>轻度（10 基础 + 3 高级）</x:v>
      </x:c>
      <x:c r="B5" s="19" t="n">
        <x:v>13</x:v>
      </x:c>
      <x:c r="C5" s="19" t="n">
        <x:v>13</x:v>
      </x:c>
      <x:c r="D5" s="19" t="n">
        <x:v>0</x:v>
      </x:c>
      <x:c r="E5" s="19" t="n">
        <x:f>C5*'① 计价与单次成本'!$E$14+D5*'① 计价与单次成本'!$E$15</x:f>
        <x:v>104000</x:v>
      </x:c>
      <x:c r="F5" s="28" t="n">
        <x:f>C5*'① 计价与单次成本'!$F$14+D5*'① 计价与单次成本'!$F$15</x:f>
        <x:v>0.31417776000000003</x:v>
      </x:c>
      <x:c r="G5" s="28" t="n">
        <x:f>C5*'① 计价与单次成本'!$G$14+D5*'① 计价与单次成本'!$G$15</x:f>
        <x:v>0.6283555200000001</x:v>
      </x:c>
    </x:row>
    <x:row r="6">
      <x:c r="A6" s="21" t="str">
        <x:v>典型（30 基础 + 6 高级）</x:v>
      </x:c>
      <x:c r="B6" s="22" t="n">
        <x:v>36</x:v>
      </x:c>
      <x:c r="C6" s="22" t="n">
        <x:v>36</x:v>
      </x:c>
      <x:c r="D6" s="22" t="n">
        <x:v>0</x:v>
      </x:c>
      <x:c r="E6" s="22" t="n">
        <x:f>C6*'① 计价与单次成本'!$E$14+D6*'① 计价与单次成本'!$E$15</x:f>
        <x:v>288000</x:v>
      </x:c>
      <x:c r="F6" s="29" t="n">
        <x:f>C6*'① 计价与单次成本'!$F$14+D6*'① 计价与单次成本'!$F$15</x:f>
        <x:v>0.87003072</x:v>
      </x:c>
      <x:c r="G6" s="29" t="n">
        <x:f>C6*'① 计价与单次成本'!$G$14+D6*'① 计价与单次成本'!$G$15</x:f>
        <x:v>1.74006144</x:v>
      </x:c>
    </x:row>
    <x:row r="7">
      <x:c r="A7" s="18" t="str">
        <x:v>重度（100 基础，含 60 次降智 + 10 高级）</x:v>
      </x:c>
      <x:c r="B7" s="19" t="n">
        <x:v>110</x:v>
      </x:c>
      <x:c r="C7" s="19" t="n">
        <x:v>50</x:v>
      </x:c>
      <x:c r="D7" s="19" t="n">
        <x:v>60</x:v>
      </x:c>
      <x:c r="E7" s="19" t="n">
        <x:f>C7*'① 计价与单次成本'!$E$14+D7*'① 计价与单次成本'!$E$15</x:f>
        <x:v>760000</x:v>
      </x:c>
      <x:c r="F7" s="28" t="n">
        <x:f>C7*'① 计价与单次成本'!$F$14+D7*'① 计价与单次成本'!$F$15</x:f>
        <x:v>2.0881872</x:v>
      </x:c>
      <x:c r="G7" s="28" t="n">
        <x:f>C7*'① 计价与单次成本'!$G$14+D7*'① 计价与单次成本'!$G$15</x:f>
        <x:v>4.1763744</x:v>
      </x:c>
    </x:row>
    <x:row r="8">
      <x:c r="A8" s="21" t="str">
        <x:v>极端滥用（每天 100 次满额 × 30 天）</x:v>
      </x:c>
      <x:c r="B8" s="22" t="n">
        <x:v>3000</x:v>
      </x:c>
      <x:c r="C8" s="22" t="n">
        <x:v>3000</x:v>
      </x:c>
      <x:c r="D8" s="22" t="n">
        <x:v>0</x:v>
      </x:c>
      <x:c r="E8" s="22" t="n">
        <x:f>C8*'① 计价与单次成本'!$E$14+D8*'① 计价与单次成本'!$E$15</x:f>
        <x:v>24000000</x:v>
      </x:c>
      <x:c r="F8" s="29" t="n">
        <x:f>C8*'① 计价与单次成本'!$F$14+D8*'① 计价与单次成本'!$F$15</x:f>
        <x:v>72.50256</x:v>
      </x:c>
      <x:c r="G8" s="29" t="n">
        <x:f>C8*'① 计价与单次成本'!$G$14+D8*'① 计价与单次成本'!$G$15</x:f>
        <x:v>145.00512</x:v>
      </x:c>
    </x:row>
    <x:row r="10" ht="26" customHeight="1">
      <x:c r="A10" s="25" t="str">
        <x:v>极端滥用为理论上限（单日 100 次满额连用 30 天），正常个人用户（每天个位数次）不会触达；「降智」仅省约 37% 成本，如需兜底建议叠加限频或超限切换更便宜的模型。</x:v>
      </x:c>
      <x:c r="B10" s="25" t="str">
        <x:v>极端滥用为理论上限（单日 100 次满额连用 30 天），正常个人用户（每天个位数次）不会触达；「降智」仅省约 37% 成本，如需兜底建议叠加限频或超限切换更便宜的模型。</x:v>
      </x:c>
      <x:c r="C10" s="25" t="str">
        <x:v>极端滥用为理论上限（单日 100 次满额连用 30 天），正常个人用户（每天个位数次）不会触达；「降智」仅省约 37% 成本，如需兜底建议叠加限频或超限切换更便宜的模型。</x:v>
      </x:c>
      <x:c r="D10" s="25" t="str">
        <x:v>极端滥用为理论上限（单日 100 次满额连用 30 天），正常个人用户（每天个位数次）不会触达；「降智」仅省约 37% 成本，如需兜底建议叠加限频或超限切换更便宜的模型。</x:v>
      </x:c>
      <x:c r="E10" s="25" t="str">
        <x:v>极端滥用为理论上限（单日 100 次满额连用 30 天），正常个人用户（每天个位数次）不会触达；「降智」仅省约 37% 成本，如需兜底建议叠加限频或超限切换更便宜的模型。</x:v>
      </x:c>
      <x:c r="F10" s="25" t="str">
        <x:v>极端滥用为理论上限（单日 100 次满额连用 30 天），正常个人用户（每天个位数次）不会触达；「降智」仅省约 37% 成本，如需兜底建议叠加限频或超限切换更便宜的模型。</x:v>
      </x:c>
      <x:c r="G10" s="25" t="str">
        <x:v>极端滥用为理论上限（单日 100 次满额连用 30 天），正常个人用户（每天个位数次）不会触达；「降智」仅省约 37% 成本，如需兜底建议叠加限频或超限切换更便宜的模型。</x:v>
      </x:c>
    </x:row>
  </x:sheetData>
  <x:mergeCells>
    <x:mergeCell ref="A1:G1"/>
    <x:mergeCell ref="A2:G2"/>
    <x:mergeCell ref="A10:G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20" hidden="0" customWidth="1"/>
    <x:col min="7" max="7" width="18" hidden="0" customWidth="1"/>
  </x:cols>
  <x:sheetData>
    <x:row r="1" ht="30" customHeight="1">
      <x:c r="A1" s="2" t="str">
        <x:v>进阶版 · 单月 Token 消耗量与成本</x:v>
      </x:c>
      <x:c r="B1" s="2" t="str">
        <x:v>进阶版 · 单月 Token 消耗量与成本</x:v>
      </x:c>
      <x:c r="C1" s="2" t="str">
        <x:v>进阶版 · 单月 Token 消耗量与成本</x:v>
      </x:c>
      <x:c r="D1" s="2" t="str">
        <x:v>进阶版 · 单月 Token 消耗量与成本</x:v>
      </x:c>
      <x:c r="E1" s="2" t="str">
        <x:v>进阶版 · 单月 Token 消耗量与成本</x:v>
      </x:c>
      <x:c r="F1" s="2" t="str">
        <x:v>进阶版 · 单月 Token 消耗量与成本</x:v>
      </x:c>
      <x:c r="G1" s="2" t="str">
        <x:v>进阶版 · 单月 Token 消耗量与成本</x:v>
      </x:c>
    </x:row>
    <x:row r="2">
      <x:c r="A2" s="11" t="str">
        <x:v>假设：¥9.9/月，高级功能 50 次/月，不降智（配额为假设，待产品确认）</x:v>
      </x:c>
    </x:row>
    <x:row r="4" ht="22" customHeight="1">
      <x:c r="A4" s="5" t="str">
        <x:v>使用强度</x:v>
      </x:c>
      <x:c r="B4" s="5" t="str">
        <x:v>月分析次数</x:v>
      </x:c>
      <x:c r="C4" s="5" t="str">
        <x:v>其中·完整分析</x:v>
      </x:c>
      <x:c r="D4" s="5" t="str">
        <x:v>其中·降智</x:v>
      </x:c>
      <x:c r="E4" s="5" t="str">
        <x:v>月 token 消耗量</x:v>
      </x:c>
      <x:c r="F4" s="5" t="str">
        <x:v>月成本 off-peak（CNY）</x:v>
      </x:c>
      <x:c r="G4" s="5" t="str">
        <x:v>月成本 peak（CNY）</x:v>
      </x:c>
    </x:row>
    <x:row r="5">
      <x:c r="A5" s="18" t="str">
        <x:v>典型（40 基础 + 20 高级）</x:v>
      </x:c>
      <x:c r="B5" s="19" t="n">
        <x:v>60</x:v>
      </x:c>
      <x:c r="C5" s="19" t="n">
        <x:v>60</x:v>
      </x:c>
      <x:c r="D5" s="19" t="n">
        <x:v>0</x:v>
      </x:c>
      <x:c r="E5" s="19" t="n">
        <x:f>C5*'① 计价与单次成本'!$E$14+D5*'① 计价与单次成本'!$E$15</x:f>
        <x:v>480000</x:v>
      </x:c>
      <x:c r="F5" s="28" t="n">
        <x:f>C5*'① 计价与单次成本'!$F$14+D5*'① 计价与单次成本'!$F$15</x:f>
        <x:v>1.4500512</x:v>
      </x:c>
      <x:c r="G5" s="28" t="n">
        <x:f>C5*'① 计价与单次成本'!$G$14+D5*'① 计价与单次成本'!$G$15</x:f>
        <x:v>2.9001024</x:v>
      </x:c>
    </x:row>
    <x:row r="6">
      <x:c r="A6" s="21" t="str">
        <x:v>重度（100 基础 + 50 高级）</x:v>
      </x:c>
      <x:c r="B6" s="22" t="n">
        <x:v>150</x:v>
      </x:c>
      <x:c r="C6" s="22" t="n">
        <x:v>150</x:v>
      </x:c>
      <x:c r="D6" s="22" t="n">
        <x:v>0</x:v>
      </x:c>
      <x:c r="E6" s="22" t="n">
        <x:f>C6*'① 计价与单次成本'!$E$14+D6*'① 计价与单次成本'!$E$15</x:f>
        <x:v>1200000</x:v>
      </x:c>
      <x:c r="F6" s="29" t="n">
        <x:f>C6*'① 计价与单次成本'!$F$14+D6*'① 计价与单次成本'!$F$15</x:f>
        <x:v>3.625128</x:v>
      </x:c>
      <x:c r="G6" s="29" t="n">
        <x:f>C6*'① 计价与单次成本'!$G$14+D6*'① 计价与单次成本'!$G$15</x:f>
        <x:v>7.250256</x:v>
      </x:c>
    </x:row>
    <x:row r="8">
      <x:c r="A8" s="25" t="str">
        <x:v>进阶版目前 PRD 未定义，此表按假设口径测算；若改为其他定价/配额可在此表直接改 B/C/D 列数字，成本自动重算。</x:v>
      </x:c>
      <x:c r="B8" s="25" t="str">
        <x:v>进阶版目前 PRD 未定义，此表按假设口径测算；若改为其他定价/配额可在此表直接改 B/C/D 列数字，成本自动重算。</x:v>
      </x:c>
      <x:c r="C8" s="25" t="str">
        <x:v>进阶版目前 PRD 未定义，此表按假设口径测算；若改为其他定价/配额可在此表直接改 B/C/D 列数字，成本自动重算。</x:v>
      </x:c>
      <x:c r="D8" s="25" t="str">
        <x:v>进阶版目前 PRD 未定义，此表按假设口径测算；若改为其他定价/配额可在此表直接改 B/C/D 列数字，成本自动重算。</x:v>
      </x:c>
      <x:c r="E8" s="25" t="str">
        <x:v>进阶版目前 PRD 未定义，此表按假设口径测算；若改为其他定价/配额可在此表直接改 B/C/D 列数字，成本自动重算。</x:v>
      </x:c>
      <x:c r="F8" s="25" t="str">
        <x:v>进阶版目前 PRD 未定义，此表按假设口径测算；若改为其他定价/配额可在此表直接改 B/C/D 列数字，成本自动重算。</x:v>
      </x:c>
      <x:c r="G8" s="25" t="str">
        <x:v>进阶版目前 PRD 未定义，此表按假设口径测算；若改为其他定价/配额可在此表直接改 B/C/D 列数字，成本自动重算。</x:v>
      </x:c>
    </x:row>
  </x:sheetData>
  <x:mergeCells>
    <x:mergeCell ref="A1:G1"/>
    <x:mergeCell ref="A2:G2"/>
    <x:mergeCell ref="A8:G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20" hidden="0" customWidth="1"/>
    <x:col min="7" max="7" width="18" hidden="0" customWidth="1"/>
  </x:cols>
  <x:sheetData>
    <x:row r="1" ht="30" customHeight="1">
      <x:c r="A1" s="2" t="str">
        <x:v>专业版 · 单月 Token 消耗量与成本</x:v>
      </x:c>
      <x:c r="B1" s="2" t="str">
        <x:v>专业版 · 单月 Token 消耗量与成本</x:v>
      </x:c>
      <x:c r="C1" s="2" t="str">
        <x:v>专业版 · 单月 Token 消耗量与成本</x:v>
      </x:c>
      <x:c r="D1" s="2" t="str">
        <x:v>专业版 · 单月 Token 消耗量与成本</x:v>
      </x:c>
      <x:c r="E1" s="2" t="str">
        <x:v>专业版 · 单月 Token 消耗量与成本</x:v>
      </x:c>
      <x:c r="F1" s="2" t="str">
        <x:v>专业版 · 单月 Token 消耗量与成本</x:v>
      </x:c>
      <x:c r="G1" s="2" t="str">
        <x:v>专业版 · 单月 Token 消耗量与成本</x:v>
      </x:c>
    </x:row>
    <x:row r="2">
      <x:c r="A2" s="11" t="str">
        <x:v>配额：¥29/月订阅，全功能不限次数、不降智，优先使用深度分析模型</x:v>
      </x:c>
    </x:row>
    <x:row r="4" ht="22" customHeight="1">
      <x:c r="A4" s="5" t="str">
        <x:v>使用强度</x:v>
      </x:c>
      <x:c r="B4" s="5" t="str">
        <x:v>月分析次数</x:v>
      </x:c>
      <x:c r="C4" s="5" t="str">
        <x:v>其中·完整分析</x:v>
      </x:c>
      <x:c r="D4" s="5" t="str">
        <x:v>其中·降智</x:v>
      </x:c>
      <x:c r="E4" s="5" t="str">
        <x:v>月 token 消耗量</x:v>
      </x:c>
      <x:c r="F4" s="5" t="str">
        <x:v>月成本 off-peak（CNY）</x:v>
      </x:c>
      <x:c r="G4" s="5" t="str">
        <x:v>月成本 peak（CNY）</x:v>
      </x:c>
    </x:row>
    <x:row r="5">
      <x:c r="A5" s="18" t="str">
        <x:v>典型（60 基础 + 30 高级）</x:v>
      </x:c>
      <x:c r="B5" s="19" t="n">
        <x:v>90</x:v>
      </x:c>
      <x:c r="C5" s="19" t="n">
        <x:v>90</x:v>
      </x:c>
      <x:c r="D5" s="19" t="n">
        <x:v>0</x:v>
      </x:c>
      <x:c r="E5" s="19" t="n">
        <x:f>C5*'① 计价与单次成本'!$E$14+D5*'① 计价与单次成本'!$E$15</x:f>
        <x:v>720000</x:v>
      </x:c>
      <x:c r="F5" s="28" t="n">
        <x:f>C5*'① 计价与单次成本'!$F$14+D5*'① 计价与单次成本'!$F$15</x:f>
        <x:v>2.1750768000000003</x:v>
      </x:c>
      <x:c r="G5" s="28" t="n">
        <x:f>C5*'① 计价与单次成本'!$G$14+D5*'① 计价与单次成本'!$G$15</x:f>
        <x:v>4.3501536000000005</x:v>
      </x:c>
    </x:row>
    <x:row r="6">
      <x:c r="A6" s="21" t="str">
        <x:v>重度（200 基础 + 80 高级）</x:v>
      </x:c>
      <x:c r="B6" s="22" t="n">
        <x:v>280</x:v>
      </x:c>
      <x:c r="C6" s="22" t="n">
        <x:v>280</x:v>
      </x:c>
      <x:c r="D6" s="22" t="n">
        <x:v>0</x:v>
      </x:c>
      <x:c r="E6" s="22" t="n">
        <x:f>C6*'① 计价与单次成本'!$E$14+D6*'① 计价与单次成本'!$E$15</x:f>
        <x:v>2240000</x:v>
      </x:c>
      <x:c r="F6" s="29" t="n">
        <x:f>C6*'① 计价与单次成本'!$F$14+D6*'① 计价与单次成本'!$F$15</x:f>
        <x:v>6.7669056</x:v>
      </x:c>
      <x:c r="G6" s="29" t="n">
        <x:f>C6*'① 计价与单次成本'!$G$14+D6*'① 计价与单次成本'!$G$15</x:f>
        <x:v>13.5338112</x:v>
      </x:c>
    </x:row>
    <x:row r="8">
      <x:c r="A8" s="25" t="str">
        <x:v>专业版重度用户月成本约 ¥7–14/月，仍低于 ¥29 订阅价，毛利率 &gt;50%。</x:v>
      </x:c>
      <x:c r="B8" s="25" t="str">
        <x:v>专业版重度用户月成本约 ¥7–14/月，仍低于 ¥29 订阅价，毛利率 &gt;50%。</x:v>
      </x:c>
      <x:c r="C8" s="25" t="str">
        <x:v>专业版重度用户月成本约 ¥7–14/月，仍低于 ¥29 订阅价，毛利率 &gt;50%。</x:v>
      </x:c>
      <x:c r="D8" s="25" t="str">
        <x:v>专业版重度用户月成本约 ¥7–14/月，仍低于 ¥29 订阅价，毛利率 &gt;50%。</x:v>
      </x:c>
      <x:c r="E8" s="25" t="str">
        <x:v>专业版重度用户月成本约 ¥7–14/月，仍低于 ¥29 订阅价，毛利率 &gt;50%。</x:v>
      </x:c>
      <x:c r="F8" s="25" t="str">
        <x:v>专业版重度用户月成本约 ¥7–14/月，仍低于 ¥29 订阅价，毛利率 &gt;50%。</x:v>
      </x:c>
      <x:c r="G8" s="25" t="str">
        <x:v>专业版重度用户月成本约 ¥7–14/月，仍低于 ¥29 订阅价，毛利率 &gt;50%。</x:v>
      </x:c>
    </x:row>
  </x:sheetData>
  <x:mergeCells>
    <x:mergeCell ref="A1:G1"/>
    <x:mergeCell ref="A2:G2"/>
    <x:mergeCell ref="A8:G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18" hidden="0" customWidth="1"/>
    <x:col min="5" max="5" width="14" hidden="0" customWidth="1"/>
    <x:col min="6" max="6" width="40" hidden="0" customWidth="1"/>
  </x:cols>
  <x:sheetData>
    <x:row r="1" ht="30" customHeight="1">
      <x:c r="A1" s="2" t="str">
        <x:v>结论与口径说明</x:v>
      </x:c>
      <x:c r="B1" s="2" t="str">
        <x:v>结论与口径说明</x:v>
      </x:c>
      <x:c r="C1" s="2" t="str">
        <x:v>结论与口径说明</x:v>
      </x:c>
      <x:c r="D1" s="2" t="str">
        <x:v>结论与口径说明</x:v>
      </x:c>
      <x:c r="E1" s="2" t="str">
        <x:v>结论与口径说明</x:v>
      </x:c>
      <x:c r="F1" s="2" t="str">
        <x:v>结论与口径说明</x:v>
      </x:c>
    </x:row>
    <x:row r="3" ht="22" customHeight="1">
      <x:c r="A3" s="3" t="str">
        <x:v>一、分档成本对比（公式引用前表，自动联动）</x:v>
      </x:c>
      <x:c r="B3" s="3" t="str">
        <x:v>一、分档成本对比（公式引用前表，自动联动）</x:v>
      </x:c>
      <x:c r="C3" s="3" t="str">
        <x:v>一、分档成本对比（公式引用前表，自动联动）</x:v>
      </x:c>
      <x:c r="D3" s="3" t="str">
        <x:v>一、分档成本对比（公式引用前表，自动联动）</x:v>
      </x:c>
      <x:c r="E3" s="3" t="str">
        <x:v>一、分档成本对比（公式引用前表，自动联动）</x:v>
      </x:c>
      <x:c r="F3" s="3" t="str">
        <x:v>一、分档成本对比（公式引用前表，自动联动）</x:v>
      </x:c>
    </x:row>
    <x:row r="4" ht="22" customHeight="1">
      <x:c r="A4" s="5" t="str">
        <x:v>档位</x:v>
      </x:c>
      <x:c r="B4" s="5" t="str">
        <x:v>场景</x:v>
      </x:c>
      <x:c r="C4" s="5" t="str">
        <x:v>月成本 off-peak（CNY）</x:v>
      </x:c>
      <x:c r="D4" s="5" t="str">
        <x:v>月成本 peak（CNY）</x:v>
      </x:c>
      <x:c r="E4" s="5" t="str">
        <x:v>定价</x:v>
      </x:c>
      <x:c r="F4" s="5" t="str">
        <x:v>对定价的影响</x:v>
      </x:c>
    </x:row>
    <x:row r="5">
      <x:c r="A5" s="18" t="str">
        <x:v>免费版</x:v>
      </x:c>
      <x:c r="B5" s="18" t="str">
        <x:v>典型（36 次/月）</x:v>
      </x:c>
      <x:c r="C5" s="28" t="n">
        <x:f>'② 免费版'!F6</x:f>
        <x:v>0.87003072</x:v>
      </x:c>
      <x:c r="D5" s="28" t="n">
        <x:f>'② 免费版'!G6</x:f>
        <x:v>1.74006144</x:v>
      </x:c>
      <x:c r="E5" s="18" t="str">
        <x:v>免费</x:v>
      </x:c>
      <x:c r="F5" s="18" t="str">
        <x:v>真实成本 &lt;¥1/月，可放心不限次数</x:v>
      </x:c>
    </x:row>
    <x:row r="6">
      <x:c r="A6" s="21" t="str">
        <x:v>免费版</x:v>
      </x:c>
      <x:c r="B6" s="21" t="str">
        <x:v>重度（110 次/月）</x:v>
      </x:c>
      <x:c r="C6" s="29" t="n">
        <x:f>'② 免费版'!F7</x:f>
        <x:v>2.0881872</x:v>
      </x:c>
      <x:c r="D6" s="29" t="n">
        <x:f>'② 免费版'!G7</x:f>
        <x:v>4.1763744</x:v>
      </x:c>
      <x:c r="E6" s="21" t="str">
        <x:v>免费</x:v>
      </x:c>
      <x:c r="F6" s="21" t="str">
        <x:v>成本 ¥2–4/月，远低于此前假设的 ¥6.72</x:v>
      </x:c>
    </x:row>
    <x:row r="7">
      <x:c r="A7" s="18" t="str">
        <x:v>免费版</x:v>
      </x:c>
      <x:c r="B7" s="18" t="str">
        <x:v>极端滥用（3,000 次/月）</x:v>
      </x:c>
      <x:c r="C7" s="28" t="n">
        <x:f>'② 免费版'!F8</x:f>
        <x:v>72.50256</x:v>
      </x:c>
      <x:c r="D7" s="28" t="n">
        <x:f>'② 免费版'!G8</x:f>
        <x:v>145.00512</x:v>
      </x:c>
      <x:c r="E7" s="18" t="str">
        <x:v>免费</x:v>
      </x:c>
      <x:c r="F7" s="18" t="str">
        <x:v>理论上限约 ¥72/月，属风控边界，不建议按此计价</x:v>
      </x:c>
    </x:row>
    <x:row r="8">
      <x:c r="A8" s="21" t="str">
        <x:v>进阶版</x:v>
      </x:c>
      <x:c r="B8" s="21" t="str">
        <x:v>典型（60 次/月）</x:v>
      </x:c>
      <x:c r="C8" s="29" t="n">
        <x:f>'③ 进阶版'!F5</x:f>
        <x:v>1.4500512</x:v>
      </x:c>
      <x:c r="D8" s="29" t="n">
        <x:f>'③ 进阶版'!G5</x:f>
        <x:v>2.9001024</x:v>
      </x:c>
      <x:c r="E8" s="21" t="str">
        <x:v>¥9.9/月（假设）</x:v>
      </x:c>
      <x:c r="F8" s="21" t="str">
        <x:v>成本 ¥1.5–2.9，毛利充足</x:v>
      </x:c>
    </x:row>
    <x:row r="9">
      <x:c r="A9" s="18" t="str">
        <x:v>进阶版</x:v>
      </x:c>
      <x:c r="B9" s="18" t="str">
        <x:v>重度（150 次/月）</x:v>
      </x:c>
      <x:c r="C9" s="28" t="n">
        <x:f>'③ 进阶版'!F6</x:f>
        <x:v>3.625128</x:v>
      </x:c>
      <x:c r="D9" s="28" t="n">
        <x:f>'③ 进阶版'!G6</x:f>
        <x:v>7.250256</x:v>
      </x:c>
      <x:c r="E9" s="18" t="str">
        <x:v>¥9.9/月（假设）</x:v>
      </x:c>
      <x:c r="F9" s="18" t="str">
        <x:v>成本 ¥3.6–7.3，仍低于订阅价</x:v>
      </x:c>
    </x:row>
    <x:row r="10">
      <x:c r="A10" s="21" t="str">
        <x:v>专业版</x:v>
      </x:c>
      <x:c r="B10" s="21" t="str">
        <x:v>典型（90 次/月）</x:v>
      </x:c>
      <x:c r="C10" s="29" t="n">
        <x:f>'④ 专业版'!F5</x:f>
        <x:v>2.1750768000000003</x:v>
      </x:c>
      <x:c r="D10" s="29" t="n">
        <x:f>'④ 专业版'!G5</x:f>
        <x:v>4.3501536000000005</x:v>
      </x:c>
      <x:c r="E10" s="21" t="str">
        <x:v>¥29/月</x:v>
      </x:c>
      <x:c r="F10" s="21" t="str">
        <x:v>成本 ¥2.2–4.4，毛利率 &gt;80%</x:v>
      </x:c>
    </x:row>
    <x:row r="11">
      <x:c r="A11" s="18" t="str">
        <x:v>专业版</x:v>
      </x:c>
      <x:c r="B11" s="18" t="str">
        <x:v>重度（280 次/月）</x:v>
      </x:c>
      <x:c r="C11" s="28" t="n">
        <x:f>'④ 专业版'!F6</x:f>
        <x:v>6.7669056</x:v>
      </x:c>
      <x:c r="D11" s="28" t="n">
        <x:f>'④ 专业版'!G6</x:f>
        <x:v>13.5338112</x:v>
      </x:c>
      <x:c r="E11" s="18" t="str">
        <x:v>¥29/月</x:v>
      </x:c>
      <x:c r="F11" s="18" t="str">
        <x:v>成本 ¥6.8–13.5，毛利率 &gt;50%</x:v>
      </x:c>
    </x:row>
    <x:row r="13" ht="22" customHeight="1">
      <x:c r="A13" s="3" t="str">
        <x:v>二、口径与假设</x:v>
      </x:c>
      <x:c r="B13" s="3" t="str">
        <x:v>二、口径与假设</x:v>
      </x:c>
      <x:c r="C13" s="3" t="str">
        <x:v>二、口径与假设</x:v>
      </x:c>
      <x:c r="D13" s="3" t="str">
        <x:v>二、口径与假设</x:v>
      </x:c>
      <x:c r="E13" s="3" t="str">
        <x:v>二、口径与假设</x:v>
      </x:c>
      <x:c r="F13" s="3" t="str">
        <x:v>二、口径与假设</x:v>
      </x:c>
    </x:row>
    <x:row r="14" ht="18" customHeight="1">
      <x:c r="A14" s="11" t="str">
        <x:v>1. 计价来源：DeepSeek 官方定价页（deepseek-v4-flash，2026-08-31 抓取）；汇率按 1 USD = 7.2 CNY。</x:v>
      </x:c>
    </x:row>
    <x:row r="15" ht="18" customHeight="1">
      <x:c r="A15" s="11" t="str">
        <x:v>2. Peak 时段 = 北京工作日 09:00–12:00、14:00–18:00；其余时间 off-peak（半价）。</x:v>
      </x:c>
    </x:row>
    <x:row r="16" ht="18" customHeight="1">
      <x:c r="A16" s="11" t="str">
        <x:v>3. 系统提示（约 1,800 tokens/次，内容固定）被 DeepSeek 自动缓存，按「缓存命中」计费，成本可忽略。</x:v>
      </x:c>
    </x:row>
    <x:row r="17" ht="18" customHeight="1">
      <x:c r="A17" s="11" t="str">
        <x:v>4. 组合体检/复盘当前为前端模板生成（不消耗 token）；本表按「最终版接入真实 AI」估算，需在正式版注明。</x:v>
      </x:c>
    </x:row>
    <x:row r="18" ht="18" customHeight="1">
      <x:c r="A18" s="11" t="str">
        <x:v>5. 进阶版定价与配额（¥9.9/月、50 次高级/月）为假设，需产品确认后更新。</x:v>
      </x:c>
    </x:row>
    <x:row r="19" ht="18" customHeight="1">
      <x:c r="A19" s="11" t="str">
        <x:v>6. 若专业版切 v4-pro（约为 flash 的 3 倍）：单次完整分析 ≈¥0.073，重度用户月成本 ≈¥20，仍低于 ¥29 订阅价。</x:v>
      </x:c>
    </x:row>
    <x:row r="20" ht="18" customHeight="1">
      <x:c r="A20" s="11" t="str">
        <x:v>7. 此前 PRD 中「¥6.72/用户/月」为笼统假设，已被本表替换为分档实测口径。</x:v>
      </x:c>
    </x:row>
  </x:sheetData>
  <x:mergeCells>
    <x:mergeCell ref="A1:F1"/>
    <x:mergeCell ref="A3:F3"/>
    <x:mergeCell ref="A13:F13"/>
    <x:mergeCell ref="A14:F14"/>
    <x:mergeCell ref="A15:F15"/>
    <x:mergeCell ref="A16:F16"/>
    <x:mergeCell ref="A17:F17"/>
    <x:mergeCell ref="A18:F18"/>
    <x:mergeCell ref="A19:F19"/>
    <x:mergeCell ref="A20:F20"/>
  </x:mergeCells>
  <x:pageMargins left="0.7" right="0.7" top="0.75" bottom="0.75" header="0.3" footer="0.3"/>
</x:worksheet>
</file>