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5460977720d447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oken 成本测算" sheetId="1" r:id="R71d9dbe3fe5b43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0.000"/>
    <x:numFmt numFmtId="201" formatCode="0.0"/>
    <x:numFmt numFmtId="202" formatCode="#,##0"/>
    <x:numFmt numFmtId="203" formatCode="¥0.000"/>
    <x:numFmt numFmtId="204" formatCode="¥0.00"/>
  </x:numFmts>
  <x:fonts count="7">
    <x:font>
      <x:sz val="11"/>
      <x:name val="Carlito"/>
    </x:font>
    <x:font>
      <x:b/>
      <x:sz val="14"/>
      <x:color rgb="FFFFFFFF"/>
      <x:name val="Carlito"/>
    </x:font>
    <x:font>
      <x:b/>
      <x:sz val="11"/>
      <x:color rgb="FF0B3B2E"/>
      <x:name val="Carlito"/>
    </x:font>
    <x:font>
      <x:b/>
      <x:sz val="10"/>
      <x:color rgb="FFFFFFFF"/>
      <x:name val="Carlito"/>
    </x:font>
    <x:font>
      <x:sz val="10"/>
      <x:name val="Carlito"/>
    </x:font>
    <x:font>
      <x:b/>
      <x:sz val="10"/>
      <x:name val="Carlito"/>
    </x:font>
    <x:font>
      <x:i/>
      <x:sz val="9"/>
      <x:color rgb="FF6B7280"/>
      <x:name val="Carlito"/>
    </x:font>
  </x:fonts>
  <x:fills count="2">
    <x:fill>
      <x:patternFill patternType="none"/>
    </x:fill>
    <x:fill>
      <x:patternFill patternType="gray125"/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23">
    <x:xf numFmtId="0" fontId="0" fillId="0" borderId="0" xfId="0"/>
    <x:xf numFmtId="0" fontId="0" borderId="0" xfId="0" applyNumberFormat="1" applyFont="1" applyFill="0" applyBorder="1"/>
    <x:xf numFmtId="0" fontId="1" borderId="0" xfId="0" applyNumberFormat="1" applyFont="1" applyFill="0" applyBorder="1"/>
    <x:xf numFmtId="0" fontId="2" borderId="0" xfId="0" applyNumberFormat="1" applyFont="1" applyFill="0" applyBorder="1"/>
    <x:xf numFmtId="0" fontId="3" borderId="0" xfId="0" applyNumberFormat="1" applyFont="1" applyFill="0" applyBorder="1"/>
    <x:xf numFmtId="0" fontId="3" borderId="1" xfId="0" applyNumberFormat="1" applyFont="1" applyFill="0" applyBorder="1"/>
    <x:xf numFmtId="0" fontId="0" fillId="0" borderId="1" xfId="0" applyNumberFormat="1" applyFont="1" applyFill="1" applyBorder="1"/>
    <x:xf numFmtId="0" fontId="4" fillId="0" borderId="1" xfId="0" applyNumberFormat="1" applyFont="1" applyFill="1" applyBorder="1"/>
    <x:xf numFmtId="200" fontId="4" fillId="0" borderId="1" xfId="0" applyNumberFormat="1" applyFont="1" applyFill="1" applyBorder="1"/>
    <x:xf numFmtId="0" fontId="4" borderId="1" xfId="0" applyNumberFormat="1" applyFont="1" applyFill="0" applyBorder="1"/>
    <x:xf numFmtId="200" fontId="4" borderId="1" xfId="0" applyNumberFormat="1" applyFont="1" applyFill="0" applyBorder="1"/>
    <x:xf numFmtId="0" fontId="5" fillId="0" borderId="0" xfId="0" applyNumberFormat="1" applyFont="1" applyFill="1" applyBorder="1"/>
    <x:xf numFmtId="201" fontId="0" fillId="0" borderId="0" xfId="0" applyNumberFormat="1" applyFont="1" applyFill="1" applyBorder="1"/>
    <x:xf numFmtId="201" fontId="5" fillId="0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202" fontId="4" fillId="0" borderId="1" xfId="0" applyNumberFormat="1" applyFont="1" applyFill="1" applyBorder="1"/>
    <x:xf numFmtId="203" fontId="4" fillId="0" borderId="1" xfId="0" applyNumberFormat="1" applyFont="1" applyFill="1" applyBorder="1"/>
    <x:xf numFmtId="202" fontId="4" borderId="1" xfId="0" applyNumberFormat="1" applyFont="1" applyFill="0" applyBorder="1"/>
    <x:xf numFmtId="203" fontId="4" borderId="1" xfId="0" applyNumberFormat="1" applyFont="1" applyFill="0" applyBorder="1"/>
    <x:xf numFmtId="204" fontId="4" fillId="0" borderId="1" xfId="0" applyNumberFormat="1" applyFont="1" applyFill="1" applyBorder="1"/>
    <x:xf numFmtId="204" fontId="4" borderId="1" xfId="0" applyNumberFormat="1" applyFont="1" applyFill="0" applyBorder="1"/>
    <x:xf numFmtId="0" fontId="5" borderId="1" xfId="0" applyNumberFormat="1" applyFont="1" applyFill="0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fd951984ad4807" /><Relationship Type="http://schemas.openxmlformats.org/officeDocument/2006/relationships/theme" Target="/xl/theme/theme1.xml" Id="Rac8a486268e14b4c" /><Relationship Type="http://schemas.openxmlformats.org/officeDocument/2006/relationships/sharedStrings" Target="/xl/sharedStrings.xml" Id="R2e35f798207a47d1" /><Relationship Type="http://schemas.openxmlformats.org/officeDocument/2006/relationships/worksheet" Target="/xl/worksheets/sheet1.xml" Id="R71d9dbe3fe5b43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30" hidden="0" customWidth="1"/>
    <x:col min="3" max="3" width="12" hidden="0" customWidth="1"/>
    <x:col min="4" max="4" width="12" hidden="0" customWidth="1"/>
    <x:col min="5" max="5" width="12" hidden="0" customWidth="1"/>
    <x:col min="6" max="6" width="14" hidden="0" customWidth="1"/>
    <x:col min="7" max="7" width="15" hidden="0" customWidth="1"/>
    <x:col min="8" max="8" width="15" hidden="0" customWidth="1"/>
    <x:col min="9" max="9" width="10" hidden="0" customWidth="1"/>
  </x:cols>
  <x:sheetData>
    <x:row r="1" ht="30" customHeight="1">
      <x:c r="A1" s="2" t="str">
        <x:v>Finance Penguin · Token 成本测算（DeepSeek v4-flash，2026-08-31）</x:v>
      </x:c>
      <x:c r="B1" s="2" t="str">
        <x:v>Finance Penguin · Token 成本测算（DeepSeek v4-flash，2026-08-31）</x:v>
      </x:c>
      <x:c r="C1" s="2" t="str">
        <x:v>Finance Penguin · Token 成本测算（DeepSeek v4-flash，2026-08-31）</x:v>
      </x:c>
      <x:c r="D1" s="2" t="str">
        <x:v>Finance Penguin · Token 成本测算（DeepSeek v4-flash，2026-08-31）</x:v>
      </x:c>
      <x:c r="E1" s="2" t="str">
        <x:v>Finance Penguin · Token 成本测算（DeepSeek v4-flash，2026-08-31）</x:v>
      </x:c>
      <x:c r="F1" s="2" t="str">
        <x:v>Finance Penguin · Token 成本测算（DeepSeek v4-flash，2026-08-31）</x:v>
      </x:c>
      <x:c r="G1" s="2" t="str">
        <x:v>Finance Penguin · Token 成本测算（DeepSeek v4-flash，2026-08-31）</x:v>
      </x:c>
      <x:c r="H1" s="2" t="str">
        <x:v>Finance Penguin · Token 成本测算（DeepSeek v4-flash，2026-08-31）</x:v>
      </x:c>
      <x:c r="I1" s="2" t="str">
        <x:v>Finance Penguin · Token 成本测算（DeepSeek v4-flash，2026-08-31）</x:v>
      </x:c>
    </x:row>
    <x:row r="3" ht="22" customHeight="1">
      <x:c r="A3" s="3" t="str">
        <x:v>计价依据：DeepSeek v4-flash 官方价（每 1M tokens，USD）</x:v>
      </x:c>
      <x:c r="B3" s="3" t="str">
        <x:v>计价依据：DeepSeek v4-flash 官方价（每 1M tokens，USD）</x:v>
      </x:c>
      <x:c r="C3" s="3" t="str">
        <x:v>计价依据：DeepSeek v4-flash 官方价（每 1M tokens，USD）</x:v>
      </x:c>
    </x:row>
    <x:row r="4" ht="22" customHeight="1">
      <x:c r="A4" s="5" t="str">
        <x:v>计费项</x:v>
      </x:c>
      <x:c r="B4" s="5" t="str">
        <x:v>Off-peak（非高峰）</x:v>
      </x:c>
      <x:c r="C4" s="5" t="str">
        <x:v>Peak（高峰）</x:v>
      </x:c>
    </x:row>
    <x:row r="5">
      <x:c r="A5" s="7" t="str">
        <x:v>输入 tokens · 缓存命中</x:v>
      </x:c>
      <x:c r="B5" s="8" t="n">
        <x:v>0.007</x:v>
      </x:c>
      <x:c r="C5" s="8" t="n">
        <x:v>0.014</x:v>
      </x:c>
    </x:row>
    <x:row r="6">
      <x:c r="A6" s="9" t="str">
        <x:v>输入 tokens · 缓存未命中</x:v>
      </x:c>
      <x:c r="B6" s="10" t="n">
        <x:v>0.22</x:v>
      </x:c>
      <x:c r="C6" s="10" t="n">
        <x:v>0.44</x:v>
      </x:c>
    </x:row>
    <x:row r="7">
      <x:c r="A7" s="7" t="str">
        <x:v>输出 tokens</x:v>
      </x:c>
      <x:c r="B7" s="8" t="n">
        <x:v>0.66</x:v>
      </x:c>
      <x:c r="C7" s="8" t="n">
        <x:v>1.32</x:v>
      </x:c>
    </x:row>
    <x:row r="8">
      <x:c r="A8" s="11" t="str">
        <x:v>汇率（1 USD = ? CNY）</x:v>
      </x:c>
      <x:c r="B8" s="13" t="n">
        <x:v>7.2</x:v>
      </x:c>
    </x:row>
    <x:row r="9" ht="24" customHeight="1">
      <x:c r="A9" s="15" t="str">
        <x:v>Peak 时段 = 北京时间工作日 09:00–12:00、14:00–18:00；其余时间 off-peak（半价）。系统提示约 1,800 tokens/次自动命中缓存，成本可忽略。</x:v>
      </x:c>
      <x:c r="B9" s="15" t="str">
        <x:v>Peak 时段 = 北京时间工作日 09:00–12:00、14:00–18:00；其余时间 off-peak（半价）。系统提示约 1,800 tokens/次自动命中缓存，成本可忽略。</x:v>
      </x:c>
      <x:c r="C9" s="15" t="str">
        <x:v>Peak 时段 = 北京时间工作日 09:00–12:00、14:00–18:00；其余时间 off-peak（半价）。系统提示约 1,800 tokens/次自动命中缓存，成本可忽略。</x:v>
      </x:c>
      <x:c r="D9" s="15" t="str">
        <x:v>Peak 时段 = 北京时间工作日 09:00–12:00、14:00–18:00；其余时间 off-peak（半价）。系统提示约 1,800 tokens/次自动命中缓存，成本可忽略。</x:v>
      </x:c>
      <x:c r="E9" s="15" t="str">
        <x:v>Peak 时段 = 北京时间工作日 09:00–12:00、14:00–18:00；其余时间 off-peak（半价）。系统提示约 1,800 tokens/次自动命中缓存，成本可忽略。</x:v>
      </x:c>
      <x:c r="F9" s="15" t="str">
        <x:v>Peak 时段 = 北京时间工作日 09:00–12:00、14:00–18:00；其余时间 off-peak（半价）。系统提示约 1,800 tokens/次自动命中缓存，成本可忽略。</x:v>
      </x:c>
      <x:c r="G9" s="15" t="str">
        <x:v>Peak 时段 = 北京时间工作日 09:00–12:00、14:00–18:00；其余时间 off-peak（半价）。系统提示约 1,800 tokens/次自动命中缓存，成本可忽略。</x:v>
      </x:c>
      <x:c r="H9" s="15" t="str">
        <x:v>Peak 时段 = 北京时间工作日 09:00–12:00、14:00–18:00；其余时间 off-peak（半价）。系统提示约 1,800 tokens/次自动命中缓存，成本可忽略。</x:v>
      </x:c>
      <x:c r="I9" s="15" t="str">
        <x:v>Peak 时段 = 北京时间工作日 09:00–12:00、14:00–18:00；其余时间 off-peak（半价）。系统提示约 1,800 tokens/次自动命中缓存，成本可忽略。</x:v>
      </x:c>
    </x:row>
    <x:row r="11" ht="22" customHeight="1">
      <x:c r="A11" s="3" t="str">
        <x:v>一、每个功能单次跑的成本（CNY）</x:v>
      </x:c>
      <x:c r="B11" s="3" t="str">
        <x:v>一、每个功能单次跑的成本（CNY）</x:v>
      </x:c>
      <x:c r="C11" s="3" t="str">
        <x:v>一、每个功能单次跑的成本（CNY）</x:v>
      </x:c>
      <x:c r="D11" s="3" t="str">
        <x:v>一、每个功能单次跑的成本（CNY）</x:v>
      </x:c>
      <x:c r="E11" s="3" t="str">
        <x:v>一、每个功能单次跑的成本（CNY）</x:v>
      </x:c>
      <x:c r="F11" s="3" t="str">
        <x:v>一、每个功能单次跑的成本（CNY）</x:v>
      </x:c>
      <x:c r="G11" s="3" t="str">
        <x:v>一、每个功能单次跑的成本（CNY）</x:v>
      </x:c>
    </x:row>
    <x:row r="12" ht="22" customHeight="1">
      <x:c r="A12" s="5" t="str">
        <x:v>功能</x:v>
      </x:c>
      <x:c r="B12" s="5" t="str">
        <x:v>输入·缓存命中</x:v>
      </x:c>
      <x:c r="C12" s="5" t="str">
        <x:v>输入·未命中</x:v>
      </x:c>
      <x:c r="D12" s="5" t="str">
        <x:v>输出</x:v>
      </x:c>
      <x:c r="E12" s="5" t="str">
        <x:v>合计 tokens</x:v>
      </x:c>
      <x:c r="F12" s="5" t="str">
        <x:v>单次成本 off-peak</x:v>
      </x:c>
      <x:c r="G12" s="5" t="str">
        <x:v>单次成本 peak</x:v>
      </x:c>
    </x:row>
    <x:row r="13">
      <x:c r="A13" s="7" t="str">
        <x:v>基础行情分析（市场观点 / 个股完整分析）</x:v>
      </x:c>
      <x:c r="B13" s="16" t="n">
        <x:v>1800</x:v>
      </x:c>
      <x:c r="C13" s="16" t="n">
        <x:v>1700</x:v>
      </x:c>
      <x:c r="D13" s="16" t="n">
        <x:v>4500</x:v>
      </x:c>
      <x:c r="E13" s="16" t="n">
        <x:f>SUM(B13:D13)</x:f>
        <x:v>8000</x:v>
      </x:c>
      <x:c r="F13" s="17" t="n">
        <x:f>(B13*$B$5+C13*$B$6+D13*$B$7)/1000000*$B$8</x:f>
        <x:v>0.02416752</x:v>
      </x:c>
      <x:c r="G13" s="17" t="n">
        <x:f>(B13*$C$5+C13*$C$6+D13*$C$7)/1000000*$B$8</x:f>
        <x:v>0.04833504</x:v>
      </x:c>
    </x:row>
    <x:row r="14">
      <x:c r="A14" s="9" t="str">
        <x:v>组合体检（完整分析）</x:v>
      </x:c>
      <x:c r="B14" s="18" t="n">
        <x:v>1800</x:v>
      </x:c>
      <x:c r="C14" s="18" t="n">
        <x:v>1700</x:v>
      </x:c>
      <x:c r="D14" s="18" t="n">
        <x:v>4500</x:v>
      </x:c>
      <x:c r="E14" s="18" t="n">
        <x:f>SUM(B14:D14)</x:f>
        <x:v>8000</x:v>
      </x:c>
      <x:c r="F14" s="19" t="n">
        <x:f>(B14*$B$5+C14*$B$6+D14*$B$7)/1000000*$B$8</x:f>
        <x:v>0.02416752</x:v>
      </x:c>
      <x:c r="G14" s="19" t="n">
        <x:f>(B14*$C$5+C14*$C$6+D14*$C$7)/1000000*$B$8</x:f>
        <x:v>0.04833504</x:v>
      </x:c>
    </x:row>
    <x:row r="15">
      <x:c r="A15" s="7" t="str">
        <x:v>复盘分析（完整分析）</x:v>
      </x:c>
      <x:c r="B15" s="16" t="n">
        <x:v>1800</x:v>
      </x:c>
      <x:c r="C15" s="16" t="n">
        <x:v>1700</x:v>
      </x:c>
      <x:c r="D15" s="16" t="n">
        <x:v>4500</x:v>
      </x:c>
      <x:c r="E15" s="16" t="n">
        <x:f>SUM(B15:D15)</x:f>
        <x:v>8000</x:v>
      </x:c>
      <x:c r="F15" s="17" t="n">
        <x:f>(B15*$B$5+C15*$B$6+D15*$B$7)/1000000*$B$8</x:f>
        <x:v>0.02416752</x:v>
      </x:c>
      <x:c r="G15" s="17" t="n">
        <x:f>(B15*$C$5+C15*$C$6+D15*$C$7)/1000000*$B$8</x:f>
        <x:v>0.04833504</x:v>
      </x:c>
    </x:row>
    <x:row r="16">
      <x:c r="A16" s="9" t="str">
        <x:v>降智分析（免费版单日超 100 次后）</x:v>
      </x:c>
      <x:c r="B16" s="18" t="n">
        <x:v>1800</x:v>
      </x:c>
      <x:c r="C16" s="18" t="n">
        <x:v>1700</x:v>
      </x:c>
      <x:c r="D16" s="18" t="n">
        <x:v>2500</x:v>
      </x:c>
      <x:c r="E16" s="18" t="n">
        <x:f>SUM(B16:D16)</x:f>
        <x:v>6000</x:v>
      </x:c>
      <x:c r="F16" s="19" t="n">
        <x:f>(B16*$B$5+C16*$B$6+D16*$B$7)/1000000*$B$8</x:f>
        <x:v>0.01466352</x:v>
      </x:c>
      <x:c r="G16" s="19" t="n">
        <x:f>(B16*$C$5+C16*$C$6+D16*$C$7)/1000000*$B$8</x:f>
        <x:v>0.02932704</x:v>
      </x:c>
    </x:row>
    <x:row r="17">
      <x:c r="A17" s="7" t="str">
        <x:v>股票识别 resolve（附加步骤）</x:v>
      </x:c>
      <x:c r="B17" s="16" t="n">
        <x:v>0</x:v>
      </x:c>
      <x:c r="C17" s="16" t="n">
        <x:v>300</x:v>
      </x:c>
      <x:c r="D17" s="16" t="n">
        <x:v>120</x:v>
      </x:c>
      <x:c r="E17" s="16" t="n">
        <x:f>SUM(B17:D17)</x:f>
        <x:v>420</x:v>
      </x:c>
      <x:c r="F17" s="17" t="n">
        <x:f>(B17*$B$5+C17*$B$6+D17*$B$7)/1000000*$B$8</x:f>
        <x:v>0.00104544</x:v>
      </x:c>
      <x:c r="G17" s="17" t="n">
        <x:f>(B17*$C$5+C17*$C$6+D17*$C$7)/1000000*$B$8</x:f>
        <x:v>0.00209088</x:v>
      </x:c>
    </x:row>
    <x:row r="19" ht="24" customHeight="1">
      <x:c r="A19" s="15" t="str">
        <x:v>注：组合体检/复盘当前为前端模板生成（不消耗 token），上表按「最终版接入真实 AI」估算；单次 token 为本地实测均值（完整分析 5,600–9,800，取典型 8,000）。</x:v>
      </x:c>
      <x:c r="B19" s="15" t="str">
        <x:v>注：组合体检/复盘当前为前端模板生成（不消耗 token），上表按「最终版接入真实 AI」估算；单次 token 为本地实测均值（完整分析 5,600–9,800，取典型 8,000）。</x:v>
      </x:c>
      <x:c r="C19" s="15" t="str">
        <x:v>注：组合体检/复盘当前为前端模板生成（不消耗 token），上表按「最终版接入真实 AI」估算；单次 token 为本地实测均值（完整分析 5,600–9,800，取典型 8,000）。</x:v>
      </x:c>
      <x:c r="D19" s="15" t="str">
        <x:v>注：组合体检/复盘当前为前端模板生成（不消耗 token），上表按「最终版接入真实 AI」估算；单次 token 为本地实测均值（完整分析 5,600–9,800，取典型 8,000）。</x:v>
      </x:c>
      <x:c r="E19" s="15" t="str">
        <x:v>注：组合体检/复盘当前为前端模板生成（不消耗 token），上表按「最终版接入真实 AI」估算；单次 token 为本地实测均值（完整分析 5,600–9,800，取典型 8,000）。</x:v>
      </x:c>
      <x:c r="F19" s="15" t="str">
        <x:v>注：组合体检/复盘当前为前端模板生成（不消耗 token），上表按「最终版接入真实 AI」估算；单次 token 为本地实测均值（完整分析 5,600–9,800，取典型 8,000）。</x:v>
      </x:c>
      <x:c r="G19" s="15" t="str">
        <x:v>注：组合体检/复盘当前为前端模板生成（不消耗 token），上表按「最终版接入真实 AI」估算；单次 token 为本地实测均值（完整分析 5,600–9,800，取典型 8,000）。</x:v>
      </x:c>
      <x:c r="H19" s="15" t="str">
        <x:v>注：组合体检/复盘当前为前端模板生成（不消耗 token），上表按「最终版接入真实 AI」估算；单次 token 为本地实测均值（完整分析 5,600–9,800，取典型 8,000）。</x:v>
      </x:c>
      <x:c r="I19" s="15" t="str">
        <x:v>注：组合体检/复盘当前为前端模板生成（不消耗 token），上表按「最终版接入真实 AI」估算；单次 token 为本地实测均值（完整分析 5,600–9,800，取典型 8,000）。</x:v>
      </x:c>
    </x:row>
    <x:row r="21" ht="22" customHeight="1">
      <x:c r="A21" s="3" t="str">
        <x:v>二、单月 token 花费与价格（免费版 / 付费版 × 轻度 / 中度 / 重度）</x:v>
      </x:c>
      <x:c r="B21" s="3" t="str">
        <x:v>二、单月 token 花费与价格（免费版 / 付费版 × 轻度 / 中度 / 重度）</x:v>
      </x:c>
      <x:c r="C21" s="3" t="str">
        <x:v>二、单月 token 花费与价格（免费版 / 付费版 × 轻度 / 中度 / 重度）</x:v>
      </x:c>
      <x:c r="D21" s="3" t="str">
        <x:v>二、单月 token 花费与价格（免费版 / 付费版 × 轻度 / 中度 / 重度）</x:v>
      </x:c>
      <x:c r="E21" s="3" t="str">
        <x:v>二、单月 token 花费与价格（免费版 / 付费版 × 轻度 / 中度 / 重度）</x:v>
      </x:c>
      <x:c r="F21" s="3" t="str">
        <x:v>二、单月 token 花费与价格（免费版 / 付费版 × 轻度 / 中度 / 重度）</x:v>
      </x:c>
      <x:c r="G21" s="3" t="str">
        <x:v>二、单月 token 花费与价格（免费版 / 付费版 × 轻度 / 中度 / 重度）</x:v>
      </x:c>
      <x:c r="H21" s="3" t="str">
        <x:v>二、单月 token 花费与价格（免费版 / 付费版 × 轻度 / 中度 / 重度）</x:v>
      </x:c>
      <x:c r="I21" s="3" t="str">
        <x:v>二、单月 token 花费与价格（免费版 / 付费版 × 轻度 / 中度 / 重度）</x:v>
      </x:c>
    </x:row>
    <x:row r="22" ht="22" customHeight="1">
      <x:c r="A22" s="5" t="str">
        <x:v>版本</x:v>
      </x:c>
      <x:c r="B22" s="5" t="str">
        <x:v>人群</x:v>
      </x:c>
      <x:c r="C22" s="5" t="str">
        <x:v>月分析次数</x:v>
      </x:c>
      <x:c r="D22" s="5" t="str">
        <x:v>其中·完整分析</x:v>
      </x:c>
      <x:c r="E22" s="5" t="str">
        <x:v>其中·降智</x:v>
      </x:c>
      <x:c r="F22" s="5" t="str">
        <x:v>月 token 调用量</x:v>
      </x:c>
      <x:c r="G22" s="5" t="str">
        <x:v>月成本 off-peak</x:v>
      </x:c>
      <x:c r="H22" s="5" t="str">
        <x:v>月成本 peak</x:v>
      </x:c>
      <x:c r="I22" s="5" t="str">
        <x:v>订阅价/月</x:v>
      </x:c>
    </x:row>
    <x:row r="23">
      <x:c r="A23" s="7" t="str">
        <x:v>免费版</x:v>
      </x:c>
      <x:c r="B23" s="7" t="str">
        <x:v>轻度（10 基础 + 2 高级）</x:v>
      </x:c>
      <x:c r="C23" s="16" t="n">
        <x:v>12</x:v>
      </x:c>
      <x:c r="D23" s="16" t="n">
        <x:v>12</x:v>
      </x:c>
      <x:c r="E23" s="16" t="n">
        <x:v>0</x:v>
      </x:c>
      <x:c r="F23" s="16" t="n">
        <x:f>D23*$E$13+E23*$E$16</x:f>
        <x:v>96000</x:v>
      </x:c>
      <x:c r="G23" s="20" t="n">
        <x:f>D23*$F$13+E23*$F$16</x:f>
        <x:v>0.29001024000000003</x:v>
      </x:c>
      <x:c r="H23" s="20" t="n">
        <x:f>D23*$G$13+E23*$G$16</x:f>
        <x:v>0.5800204800000001</x:v>
      </x:c>
      <x:c r="I23" s="7" t="str">
        <x:v>¥0</x:v>
      </x:c>
    </x:row>
    <x:row r="24">
      <x:c r="A24" s="7" t="str">
        <x:v>免费版</x:v>
      </x:c>
      <x:c r="B24" s="9" t="str">
        <x:v>中度（30 基础 + 5 高级）</x:v>
      </x:c>
      <x:c r="C24" s="18" t="n">
        <x:v>35</x:v>
      </x:c>
      <x:c r="D24" s="18" t="n">
        <x:v>35</x:v>
      </x:c>
      <x:c r="E24" s="18" t="n">
        <x:v>0</x:v>
      </x:c>
      <x:c r="F24" s="18" t="n">
        <x:f>D24*$E$13+E24*$E$16</x:f>
        <x:v>280000</x:v>
      </x:c>
      <x:c r="G24" s="21" t="n">
        <x:f>D24*$F$13+E24*$F$16</x:f>
        <x:v>0.8458632</x:v>
      </x:c>
      <x:c r="H24" s="21" t="n">
        <x:f>D24*$G$13+E24*$G$16</x:f>
        <x:v>1.6917264</x:v>
      </x:c>
      <x:c r="I24" s="9" t="str">
        <x:v>¥0</x:v>
      </x:c>
    </x:row>
    <x:row r="25">
      <x:c r="A25" s="7" t="str">
        <x:v>免费版</x:v>
      </x:c>
      <x:c r="B25" s="7" t="str">
        <x:v>重度（100 基础，含 60 次降智 + 10 高级）</x:v>
      </x:c>
      <x:c r="C25" s="16" t="n">
        <x:v>110</x:v>
      </x:c>
      <x:c r="D25" s="16" t="n">
        <x:v>50</x:v>
      </x:c>
      <x:c r="E25" s="16" t="n">
        <x:v>60</x:v>
      </x:c>
      <x:c r="F25" s="16" t="n">
        <x:f>D25*$E$13+E25*$E$16</x:f>
        <x:v>760000</x:v>
      </x:c>
      <x:c r="G25" s="20" t="n">
        <x:f>D25*$F$13+E25*$F$16</x:f>
        <x:v>2.0881872</x:v>
      </x:c>
      <x:c r="H25" s="20" t="n">
        <x:f>D25*$G$13+E25*$G$16</x:f>
        <x:v>4.1763744</x:v>
      </x:c>
      <x:c r="I25" s="7" t="str">
        <x:v>¥0</x:v>
      </x:c>
    </x:row>
    <x:row r="26">
      <x:c r="A26" s="22" t="str">
        <x:v>付费版</x:v>
      </x:c>
      <x:c r="B26" s="9" t="str">
        <x:v>轻度（20 基础 + 5 高级）</x:v>
      </x:c>
      <x:c r="C26" s="18" t="n">
        <x:v>25</x:v>
      </x:c>
      <x:c r="D26" s="18" t="n">
        <x:v>25</x:v>
      </x:c>
      <x:c r="E26" s="18" t="n">
        <x:v>0</x:v>
      </x:c>
      <x:c r="F26" s="18" t="n">
        <x:f>D26*$E$13+E26*$E$16</x:f>
        <x:v>200000</x:v>
      </x:c>
      <x:c r="G26" s="21" t="n">
        <x:f>D26*$F$13+E26*$F$16</x:f>
        <x:v>0.6041880000000001</x:v>
      </x:c>
      <x:c r="H26" s="21" t="n">
        <x:f>D26*$G$13+E26*$G$16</x:f>
        <x:v>1.2083760000000001</x:v>
      </x:c>
      <x:c r="I26" s="9" t="str">
        <x:v>¥29</x:v>
      </x:c>
    </x:row>
    <x:row r="27">
      <x:c r="A27" s="22" t="str">
        <x:v>付费版</x:v>
      </x:c>
      <x:c r="B27" s="7" t="str">
        <x:v>中度（60 基础 + 15 高级）</x:v>
      </x:c>
      <x:c r="C27" s="16" t="n">
        <x:v>75</x:v>
      </x:c>
      <x:c r="D27" s="16" t="n">
        <x:v>75</x:v>
      </x:c>
      <x:c r="E27" s="16" t="n">
        <x:v>0</x:v>
      </x:c>
      <x:c r="F27" s="16" t="n">
        <x:f>D27*$E$13+E27*$E$16</x:f>
        <x:v>600000</x:v>
      </x:c>
      <x:c r="G27" s="20" t="n">
        <x:f>D27*$F$13+E27*$F$16</x:f>
        <x:v>1.812564</x:v>
      </x:c>
      <x:c r="H27" s="20" t="n">
        <x:f>D27*$G$13+E27*$G$16</x:f>
        <x:v>3.625128</x:v>
      </x:c>
      <x:c r="I27" s="7" t="str">
        <x:v>¥29</x:v>
      </x:c>
    </x:row>
    <x:row r="28">
      <x:c r="A28" s="22" t="str">
        <x:v>付费版</x:v>
      </x:c>
      <x:c r="B28" s="9" t="str">
        <x:v>重度（200 基础 + 50 高级）</x:v>
      </x:c>
      <x:c r="C28" s="18" t="n">
        <x:v>250</x:v>
      </x:c>
      <x:c r="D28" s="18" t="n">
        <x:v>250</x:v>
      </x:c>
      <x:c r="E28" s="18" t="n">
        <x:v>0</x:v>
      </x:c>
      <x:c r="F28" s="18" t="n">
        <x:f>D28*$E$13+E28*$E$16</x:f>
        <x:v>2000000</x:v>
      </x:c>
      <x:c r="G28" s="21" t="n">
        <x:f>D28*$F$13+E28*$F$16</x:f>
        <x:v>6.04188</x:v>
      </x:c>
      <x:c r="H28" s="21" t="n">
        <x:f>D28*$G$13+E28*$G$16</x:f>
        <x:v>12.08376</x:v>
      </x:c>
      <x:c r="I28" s="9" t="str">
        <x:v>¥29</x:v>
      </x:c>
    </x:row>
    <x:row r="30" ht="24" customHeight="1">
      <x:c r="A30" s="15" t="str">
        <x:v>免费版配额：基础行情分析不限次数；组合体检+复盘合计 10 次/注册；单日请求 &gt;100 次自动降智。付费版：¥29/月，全功能不限次数、不降智。</x:v>
      </x:c>
      <x:c r="B30" s="15" t="str">
        <x:v>免费版配额：基础行情分析不限次数；组合体检+复盘合计 10 次/注册；单日请求 &gt;100 次自动降智。付费版：¥29/月，全功能不限次数、不降智。</x:v>
      </x:c>
      <x:c r="C30" s="15" t="str">
        <x:v>免费版配额：基础行情分析不限次数；组合体检+复盘合计 10 次/注册；单日请求 &gt;100 次自动降智。付费版：¥29/月，全功能不限次数、不降智。</x:v>
      </x:c>
      <x:c r="D30" s="15" t="str">
        <x:v>免费版配额：基础行情分析不限次数；组合体检+复盘合计 10 次/注册；单日请求 &gt;100 次自动降智。付费版：¥29/月，全功能不限次数、不降智。</x:v>
      </x:c>
      <x:c r="E30" s="15" t="str">
        <x:v>免费版配额：基础行情分析不限次数；组合体检+复盘合计 10 次/注册；单日请求 &gt;100 次自动降智。付费版：¥29/月，全功能不限次数、不降智。</x:v>
      </x:c>
      <x:c r="F30" s="15" t="str">
        <x:v>免费版配额：基础行情分析不限次数；组合体检+复盘合计 10 次/注册；单日请求 &gt;100 次自动降智。付费版：¥29/月，全功能不限次数、不降智。</x:v>
      </x:c>
      <x:c r="G30" s="15" t="str">
        <x:v>免费版配额：基础行情分析不限次数；组合体检+复盘合计 10 次/注册；单日请求 &gt;100 次自动降智。付费版：¥29/月，全功能不限次数、不降智。</x:v>
      </x:c>
      <x:c r="H30" s="15" t="str">
        <x:v>免费版配额：基础行情分析不限次数；组合体检+复盘合计 10 次/注册；单日请求 &gt;100 次自动降智。付费版：¥29/月，全功能不限次数、不降智。</x:v>
      </x:c>
      <x:c r="I30" s="15" t="str">
        <x:v>免费版配额：基础行情分析不限次数；组合体检+复盘合计 10 次/注册；单日请求 &gt;100 次自动降智。付费版：¥29/月，全功能不限次数、不降智。</x:v>
      </x:c>
    </x:row>
    <x:row r="31" ht="24" customHeight="1">
      <x:c r="A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B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C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D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E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F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G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H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  <x:c r="I31" s="15" t="str">
        <x:v>重度免费版若「每天 100 次满额」连用 30 天（3,000 次/月），理论成本约 ¥72/月，属滥用边界，正常个人用户不会触达；付费版重度 250 次/月成本 ¥6–12，毛利率仍 &gt;50%。</x:v>
      </x:c>
    </x:row>
  </x:sheetData>
  <x:mergeCells>
    <x:mergeCell ref="A1:I1"/>
    <x:mergeCell ref="A3:C3"/>
    <x:mergeCell ref="A9:I9"/>
    <x:mergeCell ref="A11:G11"/>
    <x:mergeCell ref="A19:I19"/>
    <x:mergeCell ref="A21:I21"/>
    <x:mergeCell ref="A30:I30"/>
    <x:mergeCell ref="A31:I31"/>
  </x:mergeCells>
  <x:pageMargins left="0.7" right="0.7" top="0.75" bottom="0.75" header="0.3" footer="0.3"/>
</x:worksheet>
</file>